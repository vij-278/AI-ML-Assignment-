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\Downloads\"/>
    </mc:Choice>
  </mc:AlternateContent>
  <xr:revisionPtr revIDLastSave="0" documentId="13_ncr:1_{A1672C0D-9474-4069-9D5A-DECA0EAF1C38}" xr6:coauthVersionLast="47" xr6:coauthVersionMax="47" xr10:uidLastSave="{00000000-0000-0000-0000-000000000000}"/>
  <bookViews>
    <workbookView xWindow="-108" yWindow="-108" windowWidth="23256" windowHeight="12456" xr2:uid="{0DC63DE4-B14C-4908-B30C-8E4D8377B7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" l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E2" i="1"/>
  <c r="F2" i="1" s="1"/>
  <c r="E3" i="1" l="1"/>
  <c r="F3" i="1" l="1"/>
  <c r="E4" i="1"/>
  <c r="F4" i="1" l="1"/>
  <c r="E5" i="1"/>
  <c r="E6" i="1" l="1"/>
  <c r="F5" i="1"/>
  <c r="E7" i="1" l="1"/>
  <c r="F6" i="1"/>
  <c r="E8" i="1" l="1"/>
  <c r="F7" i="1"/>
  <c r="E9" i="1" l="1"/>
  <c r="F8" i="1"/>
  <c r="E10" i="1" l="1"/>
  <c r="F9" i="1"/>
  <c r="E11" i="1" l="1"/>
  <c r="F10" i="1"/>
  <c r="E12" i="1" l="1"/>
  <c r="F11" i="1"/>
  <c r="E13" i="1" l="1"/>
  <c r="F12" i="1"/>
  <c r="E14" i="1" l="1"/>
  <c r="F13" i="1"/>
  <c r="E15" i="1" l="1"/>
  <c r="F14" i="1"/>
  <c r="E16" i="1" l="1"/>
  <c r="F15" i="1"/>
  <c r="E17" i="1" l="1"/>
  <c r="F16" i="1"/>
  <c r="E18" i="1" l="1"/>
  <c r="F17" i="1"/>
  <c r="E19" i="1" l="1"/>
  <c r="F18" i="1"/>
  <c r="E20" i="1" l="1"/>
  <c r="F19" i="1"/>
  <c r="E21" i="1" l="1"/>
  <c r="F20" i="1"/>
  <c r="E22" i="1" l="1"/>
  <c r="F21" i="1"/>
  <c r="E23" i="1" l="1"/>
  <c r="F22" i="1"/>
  <c r="E24" i="1" l="1"/>
  <c r="F23" i="1"/>
  <c r="E25" i="1" l="1"/>
  <c r="F24" i="1"/>
  <c r="E26" i="1" l="1"/>
  <c r="F26" i="1" s="1"/>
  <c r="F25" i="1"/>
</calcChain>
</file>

<file path=xl/sharedStrings.xml><?xml version="1.0" encoding="utf-8"?>
<sst xmlns="http://schemas.openxmlformats.org/spreadsheetml/2006/main" count="7" uniqueCount="7">
  <si>
    <t>SI.No</t>
  </si>
  <si>
    <t>Velocity(Kmph)</t>
  </si>
  <si>
    <t>Time(S)</t>
  </si>
  <si>
    <t>Velocity(m/s)</t>
  </si>
  <si>
    <t>m/s</t>
  </si>
  <si>
    <t>calculated Distance(m)</t>
  </si>
  <si>
    <t>calculated Distance(Km)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</si>
</sst>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7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VELOCITY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94545881900436E-2"/>
          <c:y val="0.14934415725915301"/>
          <c:w val="0.85222462817147859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v>VELOCITY Vs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Sheet1!$B$2:$B$26</c:f>
              <c:numCache>
                <c:formatCode>General</c:formatCode>
                <c:ptCount val="25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  <c:pt idx="13">
                  <c:v>390</c:v>
                </c:pt>
                <c:pt idx="14">
                  <c:v>420</c:v>
                </c:pt>
                <c:pt idx="15">
                  <c:v>450</c:v>
                </c:pt>
                <c:pt idx="16">
                  <c:v>480</c:v>
                </c:pt>
                <c:pt idx="17">
                  <c:v>510</c:v>
                </c:pt>
                <c:pt idx="18">
                  <c:v>540</c:v>
                </c:pt>
                <c:pt idx="19">
                  <c:v>570</c:v>
                </c:pt>
                <c:pt idx="20">
                  <c:v>600</c:v>
                </c:pt>
                <c:pt idx="21">
                  <c:v>630</c:v>
                </c:pt>
                <c:pt idx="22">
                  <c:v>660</c:v>
                </c:pt>
                <c:pt idx="23">
                  <c:v>690</c:v>
                </c:pt>
                <c:pt idx="24">
                  <c:v>720</c:v>
                </c:pt>
              </c:numCache>
            </c:numRef>
          </c:xVal>
          <c:yVal>
            <c:numRef>
              <c:f>Sheet1!$D$2:$D$26</c:f>
              <c:numCache>
                <c:formatCode>0.00</c:formatCode>
                <c:ptCount val="25"/>
                <c:pt idx="0">
                  <c:v>0</c:v>
                </c:pt>
                <c:pt idx="1">
                  <c:v>10.277777777777777</c:v>
                </c:pt>
                <c:pt idx="2">
                  <c:v>1.6666666666666665</c:v>
                </c:pt>
                <c:pt idx="3">
                  <c:v>9.7222222222222214</c:v>
                </c:pt>
                <c:pt idx="4">
                  <c:v>10.555555555555555</c:v>
                </c:pt>
                <c:pt idx="5">
                  <c:v>11.111111111111111</c:v>
                </c:pt>
                <c:pt idx="6">
                  <c:v>14.166666666666666</c:v>
                </c:pt>
                <c:pt idx="7">
                  <c:v>9.1666666666666661</c:v>
                </c:pt>
                <c:pt idx="8">
                  <c:v>3.333333333333333</c:v>
                </c:pt>
                <c:pt idx="9">
                  <c:v>11.388888888888889</c:v>
                </c:pt>
                <c:pt idx="10">
                  <c:v>11.944444444444445</c:v>
                </c:pt>
                <c:pt idx="11">
                  <c:v>10.555555555555555</c:v>
                </c:pt>
                <c:pt idx="12">
                  <c:v>10.833333333333334</c:v>
                </c:pt>
                <c:pt idx="13">
                  <c:v>8.6111111111111107</c:v>
                </c:pt>
                <c:pt idx="14">
                  <c:v>9.7222222222222214</c:v>
                </c:pt>
                <c:pt idx="15">
                  <c:v>10.833333333333334</c:v>
                </c:pt>
                <c:pt idx="16">
                  <c:v>11.111111111111111</c:v>
                </c:pt>
                <c:pt idx="17">
                  <c:v>12.5</c:v>
                </c:pt>
                <c:pt idx="18">
                  <c:v>11.666666666666666</c:v>
                </c:pt>
                <c:pt idx="19">
                  <c:v>5.833333333333333</c:v>
                </c:pt>
                <c:pt idx="20">
                  <c:v>7.5</c:v>
                </c:pt>
                <c:pt idx="21">
                  <c:v>3.8888888888888888</c:v>
                </c:pt>
                <c:pt idx="22">
                  <c:v>11.111111111111111</c:v>
                </c:pt>
                <c:pt idx="23">
                  <c:v>6.3888888888888884</c:v>
                </c:pt>
                <c:pt idx="24">
                  <c:v>7.2222222222222223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0E-4DD8-BF47-706C65E6A63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97789376"/>
        <c:axId val="597789856"/>
      </c:scatterChart>
      <c:valAx>
        <c:axId val="59778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Time(sec)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89856"/>
        <c:crosses val="autoZero"/>
        <c:crossBetween val="midCat"/>
      </c:valAx>
      <c:valAx>
        <c:axId val="59778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Velocity(m/s)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89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VELOCITY Vs DISTANCE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94545881900436E-2"/>
          <c:y val="0.14934415725915301"/>
          <c:w val="0.85222462817147859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v>VELOCITY Vs DISTANCE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Sheet1!$D$2:$D$26</c:f>
              <c:numCache>
                <c:formatCode>0.00</c:formatCode>
                <c:ptCount val="25"/>
                <c:pt idx="0">
                  <c:v>0</c:v>
                </c:pt>
                <c:pt idx="1">
                  <c:v>10.277777777777777</c:v>
                </c:pt>
                <c:pt idx="2">
                  <c:v>1.6666666666666665</c:v>
                </c:pt>
                <c:pt idx="3">
                  <c:v>9.7222222222222214</c:v>
                </c:pt>
                <c:pt idx="4">
                  <c:v>10.555555555555555</c:v>
                </c:pt>
                <c:pt idx="5">
                  <c:v>11.111111111111111</c:v>
                </c:pt>
                <c:pt idx="6">
                  <c:v>14.166666666666666</c:v>
                </c:pt>
                <c:pt idx="7">
                  <c:v>9.1666666666666661</c:v>
                </c:pt>
                <c:pt idx="8">
                  <c:v>3.333333333333333</c:v>
                </c:pt>
                <c:pt idx="9">
                  <c:v>11.388888888888889</c:v>
                </c:pt>
                <c:pt idx="10">
                  <c:v>11.944444444444445</c:v>
                </c:pt>
                <c:pt idx="11">
                  <c:v>10.555555555555555</c:v>
                </c:pt>
                <c:pt idx="12">
                  <c:v>10.833333333333334</c:v>
                </c:pt>
                <c:pt idx="13">
                  <c:v>8.6111111111111107</c:v>
                </c:pt>
                <c:pt idx="14">
                  <c:v>9.7222222222222214</c:v>
                </c:pt>
                <c:pt idx="15">
                  <c:v>10.833333333333334</c:v>
                </c:pt>
                <c:pt idx="16">
                  <c:v>11.111111111111111</c:v>
                </c:pt>
                <c:pt idx="17">
                  <c:v>12.5</c:v>
                </c:pt>
                <c:pt idx="18">
                  <c:v>11.666666666666666</c:v>
                </c:pt>
                <c:pt idx="19">
                  <c:v>5.833333333333333</c:v>
                </c:pt>
                <c:pt idx="20">
                  <c:v>7.5</c:v>
                </c:pt>
                <c:pt idx="21">
                  <c:v>3.8888888888888888</c:v>
                </c:pt>
                <c:pt idx="22">
                  <c:v>11.111111111111111</c:v>
                </c:pt>
                <c:pt idx="23">
                  <c:v>6.3888888888888884</c:v>
                </c:pt>
                <c:pt idx="24">
                  <c:v>7.2222222222222223</c:v>
                </c:pt>
              </c:numCache>
            </c:numRef>
          </c:xVal>
          <c:yVal>
            <c:numRef>
              <c:f>Sheet1!$F$2:$F$26</c:f>
              <c:numCache>
                <c:formatCode>0.000</c:formatCode>
                <c:ptCount val="25"/>
                <c:pt idx="0">
                  <c:v>0</c:v>
                </c:pt>
                <c:pt idx="1">
                  <c:v>0.15416666666666665</c:v>
                </c:pt>
                <c:pt idx="2">
                  <c:v>0.33333333333333326</c:v>
                </c:pt>
                <c:pt idx="3">
                  <c:v>0.50416666666666654</c:v>
                </c:pt>
                <c:pt idx="4">
                  <c:v>0.80833333333333324</c:v>
                </c:pt>
                <c:pt idx="5">
                  <c:v>1.1333333333333333</c:v>
                </c:pt>
                <c:pt idx="6">
                  <c:v>1.5125</c:v>
                </c:pt>
                <c:pt idx="7">
                  <c:v>1.8625</c:v>
                </c:pt>
                <c:pt idx="8">
                  <c:v>2.0499999999999998</c:v>
                </c:pt>
                <c:pt idx="9">
                  <c:v>2.2708333333333335</c:v>
                </c:pt>
                <c:pt idx="10">
                  <c:v>2.6208333333333336</c:v>
                </c:pt>
                <c:pt idx="11">
                  <c:v>2.9583333333333335</c:v>
                </c:pt>
                <c:pt idx="12">
                  <c:v>3.2791666666666668</c:v>
                </c:pt>
                <c:pt idx="13">
                  <c:v>3.5708333333333333</c:v>
                </c:pt>
                <c:pt idx="14">
                  <c:v>3.8458333333333337</c:v>
                </c:pt>
                <c:pt idx="15">
                  <c:v>4.1541666666666668</c:v>
                </c:pt>
                <c:pt idx="16">
                  <c:v>4.4833333333333343</c:v>
                </c:pt>
                <c:pt idx="17">
                  <c:v>4.8375000000000012</c:v>
                </c:pt>
                <c:pt idx="18">
                  <c:v>5.2000000000000011</c:v>
                </c:pt>
                <c:pt idx="19">
                  <c:v>5.4625000000000012</c:v>
                </c:pt>
                <c:pt idx="20">
                  <c:v>5.6625000000000005</c:v>
                </c:pt>
                <c:pt idx="21">
                  <c:v>5.8333333333333339</c:v>
                </c:pt>
                <c:pt idx="22">
                  <c:v>6.0583333333333336</c:v>
                </c:pt>
                <c:pt idx="23">
                  <c:v>6.3208333333333337</c:v>
                </c:pt>
                <c:pt idx="24">
                  <c:v>6.5250000000000012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08-4006-A8D2-7A860DCE9EE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97789376"/>
        <c:axId val="597789856"/>
      </c:scatterChart>
      <c:valAx>
        <c:axId val="59778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IN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Velocity (m/s)</a:t>
                </a:r>
                <a:endParaRPr lang="en-IN"/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89856"/>
        <c:crosses val="autoZero"/>
        <c:crossBetween val="midCat"/>
      </c:valAx>
      <c:valAx>
        <c:axId val="59778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Distance(Km)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89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VELOCITY Vs DISTANCE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94545881900436E-2"/>
          <c:y val="0.14934415725915301"/>
          <c:w val="0.85222462817147859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v>TIME Vs DISTANCE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Sheet1!$B$2:$B$26</c:f>
              <c:numCache>
                <c:formatCode>General</c:formatCode>
                <c:ptCount val="25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  <c:pt idx="13">
                  <c:v>390</c:v>
                </c:pt>
                <c:pt idx="14">
                  <c:v>420</c:v>
                </c:pt>
                <c:pt idx="15">
                  <c:v>450</c:v>
                </c:pt>
                <c:pt idx="16">
                  <c:v>480</c:v>
                </c:pt>
                <c:pt idx="17">
                  <c:v>510</c:v>
                </c:pt>
                <c:pt idx="18">
                  <c:v>540</c:v>
                </c:pt>
                <c:pt idx="19">
                  <c:v>570</c:v>
                </c:pt>
                <c:pt idx="20">
                  <c:v>600</c:v>
                </c:pt>
                <c:pt idx="21">
                  <c:v>630</c:v>
                </c:pt>
                <c:pt idx="22">
                  <c:v>660</c:v>
                </c:pt>
                <c:pt idx="23">
                  <c:v>690</c:v>
                </c:pt>
                <c:pt idx="24">
                  <c:v>720</c:v>
                </c:pt>
              </c:numCache>
            </c:numRef>
          </c:xVal>
          <c:yVal>
            <c:numRef>
              <c:f>Sheet1!$F$2:$F$26</c:f>
              <c:numCache>
                <c:formatCode>0.000</c:formatCode>
                <c:ptCount val="25"/>
                <c:pt idx="0">
                  <c:v>0</c:v>
                </c:pt>
                <c:pt idx="1">
                  <c:v>0.15416666666666665</c:v>
                </c:pt>
                <c:pt idx="2">
                  <c:v>0.33333333333333326</c:v>
                </c:pt>
                <c:pt idx="3">
                  <c:v>0.50416666666666654</c:v>
                </c:pt>
                <c:pt idx="4">
                  <c:v>0.80833333333333324</c:v>
                </c:pt>
                <c:pt idx="5">
                  <c:v>1.1333333333333333</c:v>
                </c:pt>
                <c:pt idx="6">
                  <c:v>1.5125</c:v>
                </c:pt>
                <c:pt idx="7">
                  <c:v>1.8625</c:v>
                </c:pt>
                <c:pt idx="8">
                  <c:v>2.0499999999999998</c:v>
                </c:pt>
                <c:pt idx="9">
                  <c:v>2.2708333333333335</c:v>
                </c:pt>
                <c:pt idx="10">
                  <c:v>2.6208333333333336</c:v>
                </c:pt>
                <c:pt idx="11">
                  <c:v>2.9583333333333335</c:v>
                </c:pt>
                <c:pt idx="12">
                  <c:v>3.2791666666666668</c:v>
                </c:pt>
                <c:pt idx="13">
                  <c:v>3.5708333333333333</c:v>
                </c:pt>
                <c:pt idx="14">
                  <c:v>3.8458333333333337</c:v>
                </c:pt>
                <c:pt idx="15">
                  <c:v>4.1541666666666668</c:v>
                </c:pt>
                <c:pt idx="16">
                  <c:v>4.4833333333333343</c:v>
                </c:pt>
                <c:pt idx="17">
                  <c:v>4.8375000000000012</c:v>
                </c:pt>
                <c:pt idx="18">
                  <c:v>5.2000000000000011</c:v>
                </c:pt>
                <c:pt idx="19">
                  <c:v>5.4625000000000012</c:v>
                </c:pt>
                <c:pt idx="20">
                  <c:v>5.6625000000000005</c:v>
                </c:pt>
                <c:pt idx="21">
                  <c:v>5.8333333333333339</c:v>
                </c:pt>
                <c:pt idx="22">
                  <c:v>6.0583333333333336</c:v>
                </c:pt>
                <c:pt idx="23">
                  <c:v>6.3208333333333337</c:v>
                </c:pt>
                <c:pt idx="24">
                  <c:v>6.5250000000000012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C1-487E-8545-B14D9C3DC46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97789376"/>
        <c:axId val="597789856"/>
      </c:scatterChart>
      <c:valAx>
        <c:axId val="59778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IN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Time(s)</a:t>
                </a:r>
                <a:endParaRPr lang="en-IN"/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89856"/>
        <c:crosses val="autoZero"/>
        <c:crossBetween val="midCat"/>
      </c:valAx>
      <c:valAx>
        <c:axId val="59778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Distance(Km)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89376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426720</xdr:colOff>
      <xdr:row>3</xdr:row>
      <xdr:rowOff>152400</xdr:rowOff>
    </xdr:from>
    <xdr:to>
      <xdr:col>18</xdr:col>
      <xdr:colOff>403860</xdr:colOff>
      <xdr:row>22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09BAFC-E39D-41DC-B34A-EFE9D35B2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4</xdr:row>
      <xdr:rowOff>0</xdr:rowOff>
    </xdr:from>
    <xdr:to>
      <xdr:col>33</xdr:col>
      <xdr:colOff>175260</xdr:colOff>
      <xdr:row>25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F1F7ED-001F-479F-B8CA-33FAF17019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0</xdr:colOff>
      <xdr:row>4</xdr:row>
      <xdr:rowOff>0</xdr:rowOff>
    </xdr:from>
    <xdr:to>
      <xdr:col>48</xdr:col>
      <xdr:colOff>563880</xdr:colOff>
      <xdr:row>26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9A6AB9-F3C6-4174-8A04-8E615C31AE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E7C8-74CA-4658-879D-BCADCA7C441E}">
  <dimension ref="A1:M26"/>
  <sheetViews>
    <sheetView tabSelected="1" workbookViewId="0">
      <selection activeCell="J1" sqref="J1"/>
    </sheetView>
  </sheetViews>
  <sheetFormatPr defaultRowHeight="14.4" x14ac:dyDescent="0.3"/>
  <cols>
    <col min="3" max="3" width="14.88671875" customWidth="1"/>
    <col min="4" max="4" width="23.77734375" customWidth="1"/>
    <col min="5" max="5" width="32.109375" customWidth="1"/>
    <col min="6" max="6" width="24.77734375" customWidth="1"/>
  </cols>
  <sheetData>
    <row r="1" spans="1:13" x14ac:dyDescent="0.3">
      <c r="A1" s="4" t="s">
        <v>0</v>
      </c>
      <c r="B1" s="4" t="s">
        <v>2</v>
      </c>
      <c r="C1" s="4" t="s">
        <v>1</v>
      </c>
      <c r="D1" s="4" t="s">
        <v>3</v>
      </c>
      <c r="E1" s="4" t="s">
        <v>5</v>
      </c>
      <c r="F1" s="4" t="s">
        <v>6</v>
      </c>
      <c r="M1" t="s">
        <v>4</v>
      </c>
    </row>
    <row r="2" spans="1:13" x14ac:dyDescent="0.3">
      <c r="A2" s="1">
        <v>1</v>
      </c>
      <c r="B2" s="1">
        <v>0</v>
      </c>
      <c r="C2" s="1">
        <v>0</v>
      </c>
      <c r="D2" s="2">
        <f>C2/3.6</f>
        <v>0</v>
      </c>
      <c r="E2" s="2">
        <f>D2/3.6</f>
        <v>0</v>
      </c>
      <c r="F2" s="5">
        <f>E2/1000</f>
        <v>0</v>
      </c>
    </row>
    <row r="3" spans="1:13" x14ac:dyDescent="0.3">
      <c r="A3" s="1">
        <v>2</v>
      </c>
      <c r="B3" s="1">
        <v>30</v>
      </c>
      <c r="C3" s="1">
        <v>37</v>
      </c>
      <c r="D3" s="2">
        <f t="shared" ref="D3:D26" si="0">C3/3.6</f>
        <v>10.277777777777777</v>
      </c>
      <c r="E3" s="2">
        <f>E2 + ((D2 + D3)/2) * (B3 - B2)</f>
        <v>154.16666666666666</v>
      </c>
      <c r="F3" s="5">
        <f t="shared" ref="F3:F26" si="1">E3/1000</f>
        <v>0.15416666666666665</v>
      </c>
    </row>
    <row r="4" spans="1:13" x14ac:dyDescent="0.3">
      <c r="A4" s="3">
        <v>3</v>
      </c>
      <c r="B4" s="1">
        <v>60</v>
      </c>
      <c r="C4" s="1">
        <v>6</v>
      </c>
      <c r="D4" s="2">
        <f t="shared" si="0"/>
        <v>1.6666666666666665</v>
      </c>
      <c r="E4" s="2">
        <f t="shared" ref="E4:E26" si="2">E3 + ((D3 + D4)/2) * (B4 - B3)</f>
        <v>333.33333333333326</v>
      </c>
      <c r="F4" s="5">
        <f t="shared" si="1"/>
        <v>0.33333333333333326</v>
      </c>
    </row>
    <row r="5" spans="1:13" x14ac:dyDescent="0.3">
      <c r="A5" s="1">
        <v>4</v>
      </c>
      <c r="B5" s="1">
        <v>90</v>
      </c>
      <c r="C5" s="1">
        <v>35</v>
      </c>
      <c r="D5" s="2">
        <f t="shared" si="0"/>
        <v>9.7222222222222214</v>
      </c>
      <c r="E5" s="2">
        <f t="shared" si="2"/>
        <v>504.16666666666657</v>
      </c>
      <c r="F5" s="5">
        <f t="shared" si="1"/>
        <v>0.50416666666666654</v>
      </c>
    </row>
    <row r="6" spans="1:13" x14ac:dyDescent="0.3">
      <c r="A6" s="1">
        <v>5</v>
      </c>
      <c r="B6" s="1">
        <v>120</v>
      </c>
      <c r="C6" s="1">
        <v>38</v>
      </c>
      <c r="D6" s="2">
        <f t="shared" si="0"/>
        <v>10.555555555555555</v>
      </c>
      <c r="E6" s="2">
        <f t="shared" si="2"/>
        <v>808.33333333333326</v>
      </c>
      <c r="F6" s="5">
        <f t="shared" si="1"/>
        <v>0.80833333333333324</v>
      </c>
    </row>
    <row r="7" spans="1:13" x14ac:dyDescent="0.3">
      <c r="A7" s="1">
        <v>6</v>
      </c>
      <c r="B7" s="1">
        <v>150</v>
      </c>
      <c r="C7" s="1">
        <v>40</v>
      </c>
      <c r="D7" s="2">
        <f t="shared" si="0"/>
        <v>11.111111111111111</v>
      </c>
      <c r="E7" s="2">
        <f t="shared" si="2"/>
        <v>1133.3333333333333</v>
      </c>
      <c r="F7" s="5">
        <f t="shared" si="1"/>
        <v>1.1333333333333333</v>
      </c>
    </row>
    <row r="8" spans="1:13" x14ac:dyDescent="0.3">
      <c r="A8" s="1">
        <v>7</v>
      </c>
      <c r="B8" s="1">
        <v>180</v>
      </c>
      <c r="C8" s="1">
        <v>51</v>
      </c>
      <c r="D8" s="2">
        <f t="shared" si="0"/>
        <v>14.166666666666666</v>
      </c>
      <c r="E8" s="2">
        <f t="shared" si="2"/>
        <v>1512.5</v>
      </c>
      <c r="F8" s="5">
        <f t="shared" si="1"/>
        <v>1.5125</v>
      </c>
    </row>
    <row r="9" spans="1:13" x14ac:dyDescent="0.3">
      <c r="A9" s="1">
        <v>8</v>
      </c>
      <c r="B9" s="1">
        <v>210</v>
      </c>
      <c r="C9" s="1">
        <v>33</v>
      </c>
      <c r="D9" s="2">
        <f t="shared" si="0"/>
        <v>9.1666666666666661</v>
      </c>
      <c r="E9" s="2">
        <f t="shared" si="2"/>
        <v>1862.5</v>
      </c>
      <c r="F9" s="5">
        <f t="shared" si="1"/>
        <v>1.8625</v>
      </c>
    </row>
    <row r="10" spans="1:13" x14ac:dyDescent="0.3">
      <c r="A10" s="1">
        <v>9</v>
      </c>
      <c r="B10" s="1">
        <v>240</v>
      </c>
      <c r="C10" s="1">
        <v>12</v>
      </c>
      <c r="D10" s="2">
        <f t="shared" si="0"/>
        <v>3.333333333333333</v>
      </c>
      <c r="E10" s="2">
        <f t="shared" si="2"/>
        <v>2050</v>
      </c>
      <c r="F10" s="5">
        <f t="shared" si="1"/>
        <v>2.0499999999999998</v>
      </c>
    </row>
    <row r="11" spans="1:13" x14ac:dyDescent="0.3">
      <c r="A11" s="1">
        <v>10</v>
      </c>
      <c r="B11" s="1">
        <v>270</v>
      </c>
      <c r="C11" s="1">
        <v>41</v>
      </c>
      <c r="D11" s="2">
        <f t="shared" si="0"/>
        <v>11.388888888888889</v>
      </c>
      <c r="E11" s="2">
        <f t="shared" si="2"/>
        <v>2270.8333333333335</v>
      </c>
      <c r="F11" s="5">
        <f t="shared" si="1"/>
        <v>2.2708333333333335</v>
      </c>
    </row>
    <row r="12" spans="1:13" x14ac:dyDescent="0.3">
      <c r="A12" s="1">
        <v>11</v>
      </c>
      <c r="B12" s="1">
        <v>300</v>
      </c>
      <c r="C12" s="1">
        <v>43</v>
      </c>
      <c r="D12" s="2">
        <f t="shared" si="0"/>
        <v>11.944444444444445</v>
      </c>
      <c r="E12" s="2">
        <f t="shared" si="2"/>
        <v>2620.8333333333335</v>
      </c>
      <c r="F12" s="5">
        <f t="shared" si="1"/>
        <v>2.6208333333333336</v>
      </c>
    </row>
    <row r="13" spans="1:13" x14ac:dyDescent="0.3">
      <c r="A13" s="1">
        <v>12</v>
      </c>
      <c r="B13" s="1">
        <v>330</v>
      </c>
      <c r="C13" s="1">
        <v>38</v>
      </c>
      <c r="D13" s="2">
        <f t="shared" si="0"/>
        <v>10.555555555555555</v>
      </c>
      <c r="E13" s="2">
        <f t="shared" si="2"/>
        <v>2958.3333333333335</v>
      </c>
      <c r="F13" s="5">
        <f t="shared" si="1"/>
        <v>2.9583333333333335</v>
      </c>
    </row>
    <row r="14" spans="1:13" x14ac:dyDescent="0.3">
      <c r="A14" s="1">
        <v>13</v>
      </c>
      <c r="B14" s="1">
        <v>360</v>
      </c>
      <c r="C14" s="1">
        <v>39</v>
      </c>
      <c r="D14" s="2">
        <f t="shared" si="0"/>
        <v>10.833333333333334</v>
      </c>
      <c r="E14" s="2">
        <f t="shared" si="2"/>
        <v>3279.166666666667</v>
      </c>
      <c r="F14" s="5">
        <f t="shared" si="1"/>
        <v>3.2791666666666668</v>
      </c>
    </row>
    <row r="15" spans="1:13" x14ac:dyDescent="0.3">
      <c r="A15" s="1">
        <v>14</v>
      </c>
      <c r="B15" s="1">
        <v>390</v>
      </c>
      <c r="C15" s="1">
        <v>31</v>
      </c>
      <c r="D15" s="2">
        <f t="shared" si="0"/>
        <v>8.6111111111111107</v>
      </c>
      <c r="E15" s="2">
        <f t="shared" si="2"/>
        <v>3570.8333333333335</v>
      </c>
      <c r="F15" s="5">
        <f t="shared" si="1"/>
        <v>3.5708333333333333</v>
      </c>
    </row>
    <row r="16" spans="1:13" x14ac:dyDescent="0.3">
      <c r="A16" s="1">
        <v>15</v>
      </c>
      <c r="B16" s="1">
        <v>420</v>
      </c>
      <c r="C16" s="1">
        <v>35</v>
      </c>
      <c r="D16" s="2">
        <f t="shared" si="0"/>
        <v>9.7222222222222214</v>
      </c>
      <c r="E16" s="2">
        <f t="shared" si="2"/>
        <v>3845.8333333333335</v>
      </c>
      <c r="F16" s="5">
        <f t="shared" si="1"/>
        <v>3.8458333333333337</v>
      </c>
    </row>
    <row r="17" spans="1:6" x14ac:dyDescent="0.3">
      <c r="A17" s="1">
        <v>16</v>
      </c>
      <c r="B17" s="1">
        <v>450</v>
      </c>
      <c r="C17" s="1">
        <v>39</v>
      </c>
      <c r="D17" s="2">
        <f t="shared" si="0"/>
        <v>10.833333333333334</v>
      </c>
      <c r="E17" s="2">
        <f t="shared" si="2"/>
        <v>4154.166666666667</v>
      </c>
      <c r="F17" s="5">
        <f t="shared" si="1"/>
        <v>4.1541666666666668</v>
      </c>
    </row>
    <row r="18" spans="1:6" x14ac:dyDescent="0.3">
      <c r="A18" s="1">
        <v>17</v>
      </c>
      <c r="B18" s="1">
        <v>480</v>
      </c>
      <c r="C18" s="1">
        <v>40</v>
      </c>
      <c r="D18" s="2">
        <f t="shared" si="0"/>
        <v>11.111111111111111</v>
      </c>
      <c r="E18" s="2">
        <f t="shared" si="2"/>
        <v>4483.3333333333339</v>
      </c>
      <c r="F18" s="5">
        <f t="shared" si="1"/>
        <v>4.4833333333333343</v>
      </c>
    </row>
    <row r="19" spans="1:6" x14ac:dyDescent="0.3">
      <c r="A19" s="1">
        <v>18</v>
      </c>
      <c r="B19" s="1">
        <v>510</v>
      </c>
      <c r="C19" s="1">
        <v>45</v>
      </c>
      <c r="D19" s="2">
        <f t="shared" si="0"/>
        <v>12.5</v>
      </c>
      <c r="E19" s="2">
        <f t="shared" si="2"/>
        <v>4837.5000000000009</v>
      </c>
      <c r="F19" s="5">
        <f t="shared" si="1"/>
        <v>4.8375000000000012</v>
      </c>
    </row>
    <row r="20" spans="1:6" x14ac:dyDescent="0.3">
      <c r="A20" s="1">
        <v>19</v>
      </c>
      <c r="B20" s="1">
        <v>540</v>
      </c>
      <c r="C20" s="1">
        <v>42</v>
      </c>
      <c r="D20" s="2">
        <f t="shared" si="0"/>
        <v>11.666666666666666</v>
      </c>
      <c r="E20" s="2">
        <f t="shared" si="2"/>
        <v>5200.0000000000009</v>
      </c>
      <c r="F20" s="5">
        <f t="shared" si="1"/>
        <v>5.2000000000000011</v>
      </c>
    </row>
    <row r="21" spans="1:6" x14ac:dyDescent="0.3">
      <c r="A21" s="1">
        <v>20</v>
      </c>
      <c r="B21" s="1">
        <v>570</v>
      </c>
      <c r="C21" s="1">
        <v>21</v>
      </c>
      <c r="D21" s="2">
        <f t="shared" si="0"/>
        <v>5.833333333333333</v>
      </c>
      <c r="E21" s="2">
        <f t="shared" si="2"/>
        <v>5462.5000000000009</v>
      </c>
      <c r="F21" s="5">
        <f t="shared" si="1"/>
        <v>5.4625000000000012</v>
      </c>
    </row>
    <row r="22" spans="1:6" x14ac:dyDescent="0.3">
      <c r="A22" s="1">
        <v>21</v>
      </c>
      <c r="B22" s="1">
        <v>600</v>
      </c>
      <c r="C22" s="1">
        <v>27</v>
      </c>
      <c r="D22" s="2">
        <f t="shared" si="0"/>
        <v>7.5</v>
      </c>
      <c r="E22" s="2">
        <f t="shared" si="2"/>
        <v>5662.5000000000009</v>
      </c>
      <c r="F22" s="5">
        <f t="shared" si="1"/>
        <v>5.6625000000000005</v>
      </c>
    </row>
    <row r="23" spans="1:6" x14ac:dyDescent="0.3">
      <c r="A23" s="1">
        <v>22</v>
      </c>
      <c r="B23" s="1">
        <v>630</v>
      </c>
      <c r="C23" s="1">
        <v>14</v>
      </c>
      <c r="D23" s="2">
        <f t="shared" si="0"/>
        <v>3.8888888888888888</v>
      </c>
      <c r="E23" s="2">
        <f t="shared" si="2"/>
        <v>5833.3333333333339</v>
      </c>
      <c r="F23" s="5">
        <f t="shared" si="1"/>
        <v>5.8333333333333339</v>
      </c>
    </row>
    <row r="24" spans="1:6" x14ac:dyDescent="0.3">
      <c r="A24" s="1">
        <v>23</v>
      </c>
      <c r="B24" s="1">
        <v>660</v>
      </c>
      <c r="C24" s="1">
        <v>40</v>
      </c>
      <c r="D24" s="2">
        <f t="shared" si="0"/>
        <v>11.111111111111111</v>
      </c>
      <c r="E24" s="2">
        <f t="shared" si="2"/>
        <v>6058.3333333333339</v>
      </c>
      <c r="F24" s="5">
        <f t="shared" si="1"/>
        <v>6.0583333333333336</v>
      </c>
    </row>
    <row r="25" spans="1:6" x14ac:dyDescent="0.3">
      <c r="A25" s="1">
        <v>24</v>
      </c>
      <c r="B25" s="1">
        <v>690</v>
      </c>
      <c r="C25" s="1">
        <v>23</v>
      </c>
      <c r="D25" s="2">
        <f t="shared" si="0"/>
        <v>6.3888888888888884</v>
      </c>
      <c r="E25" s="2">
        <f t="shared" si="2"/>
        <v>6320.8333333333339</v>
      </c>
      <c r="F25" s="5">
        <f t="shared" si="1"/>
        <v>6.3208333333333337</v>
      </c>
    </row>
    <row r="26" spans="1:6" x14ac:dyDescent="0.3">
      <c r="A26" s="1">
        <v>25</v>
      </c>
      <c r="B26" s="1">
        <v>720</v>
      </c>
      <c r="C26" s="1">
        <v>26</v>
      </c>
      <c r="D26" s="2">
        <f t="shared" si="0"/>
        <v>7.2222222222222223</v>
      </c>
      <c r="E26" s="2">
        <f t="shared" si="2"/>
        <v>6525.0000000000009</v>
      </c>
      <c r="F26" s="5">
        <f t="shared" si="1"/>
        <v>6.5250000000000012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vijayabalaji mvb</dc:creator>
  <cp:lastModifiedBy>vijayabalaji mvb</cp:lastModifiedBy>
  <dcterms:created xsi:type="dcterms:W3CDTF">2026-06-15T05:29:50Z</dcterms:created>
  <dcterms:modified xsi:type="dcterms:W3CDTF">2026-06-15T08:00:02Z</dcterms:modified>
</cp:coreProperties>
</file>